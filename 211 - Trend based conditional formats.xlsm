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igu\OneDrive\Documentos\Eli\Excel Data Visualization\"/>
    </mc:Choice>
  </mc:AlternateContent>
  <xr:revisionPtr revIDLastSave="0" documentId="13_ncr:1_{C7CCC138-636F-4E7F-A8A6-5DB3BFE3B1F7}" xr6:coauthVersionLast="47" xr6:coauthVersionMax="47" xr10:uidLastSave="{00000000-0000-0000-0000-000000000000}"/>
  <bookViews>
    <workbookView xWindow="15990" yWindow="345" windowWidth="12735" windowHeight="15600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22" l="1"/>
  <c r="J7" i="22"/>
  <c r="J8" i="22"/>
  <c r="J9" i="22"/>
  <c r="J10" i="22"/>
  <c r="J11" i="22"/>
  <c r="J12" i="22"/>
  <c r="J5" i="22"/>
  <c r="P1" i="22"/>
  <c r="O1" i="22"/>
  <c r="N1" i="22"/>
  <c r="J18" i="22"/>
  <c r="J19" i="22"/>
  <c r="J20" i="22"/>
  <c r="J21" i="22"/>
  <c r="J22" i="22"/>
  <c r="J23" i="22"/>
  <c r="J24" i="22"/>
  <c r="J17" i="22"/>
  <c r="I7" i="22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I18" i="22"/>
  <c r="I19" i="22"/>
  <c r="I20" i="22"/>
  <c r="I21" i="22"/>
  <c r="I22" i="22"/>
  <c r="I23" i="22"/>
  <c r="I24" i="22"/>
</calcChain>
</file>

<file path=xl/sharedStrings.xml><?xml version="1.0" encoding="utf-8"?>
<sst xmlns="http://schemas.openxmlformats.org/spreadsheetml/2006/main" count="107" uniqueCount="75">
  <si>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</si>
  <si>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</si>
  <si>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</si>
  <si>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</si>
  <si>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</si>
  <si>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</si>
  <si>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</si>
  <si>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</si>
  <si>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</si>
  <si>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</si>
  <si>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</si>
  <si>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</si>
  <si>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</si>
  <si>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</si>
  <si>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</si>
  <si>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</si>
  <si>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</si>
  <si>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</si>
  <si>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</si>
  <si>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</si>
  <si>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</si>
  <si>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</si>
  <si>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</si>
  <si>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</si>
  <si>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</si>
  <si>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</si>
  <si>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</si>
  <si>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</si>
  <si>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</si>
  <si>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</si>
  <si>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</si>
  <si>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</si>
  <si>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</si>
  <si>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</si>
  <si>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</si>
  <si>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</si>
  <si>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</si>
  <si>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</si>
  <si>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</si>
  <si>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</si>
  <si>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</si>
  <si>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</si>
  <si>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</si>
  <si>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</si>
  <si>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</si>
  <si>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</si>
  <si>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</si>
  <si>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</si>
  <si>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</si>
  <si>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</si>
  <si>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</si>
  <si>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</si>
  <si>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</si>
  <si>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</si>
  <si>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</si>
  <si>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</si>
  <si>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</si>
  <si>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</si>
  <si>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</si>
  <si>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</si>
  <si>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</si>
  <si>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</si>
  <si>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</si>
  <si>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</si>
  <si>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</si>
  <si>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</si>
  <si>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</si>
  <si>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</si>
  <si>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</si>
  <si>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</si>
  <si>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</si>
  <si>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</si>
  <si>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</si>
  <si>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</si>
  <si>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>▲▼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</si>
</sst>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  <numFmt numFmtId="219" formatCode="[Green]\ 0.0%;[Red]\-0.0%;"/>
    <numFmt numFmtId="222" formatCode="[Red][&gt;0.01]\ \▲;[Color10][&lt;-0.01]\ \▼;[Black]General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2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0" fontId="22" fillId="33" borderId="0" xfId="0" applyFont="1" applyFill="1" applyBorder="1"/>
    <xf numFmtId="0" fontId="29" fillId="33" borderId="0" xfId="0" applyFont="1" applyFill="1" applyBorder="1" applyAlignment="1">
      <alignment horizontal="center"/>
    </xf>
    <xf numFmtId="0" fontId="29" fillId="33" borderId="0" xfId="0" applyFont="1" applyFill="1" applyBorder="1"/>
    <xf numFmtId="0" fontId="29" fillId="33" borderId="0" xfId="43" applyNumberFormat="1" applyFont="1" applyFill="1" applyBorder="1"/>
    <xf numFmtId="9" fontId="30" fillId="33" borderId="0" xfId="43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" fillId="33" borderId="0" xfId="43" applyFont="1" applyFill="1" applyBorder="1" applyAlignment="1"/>
    <xf numFmtId="9" fontId="1" fillId="33" borderId="0" xfId="43" applyFont="1" applyFill="1" applyBorder="1"/>
    <xf numFmtId="219" fontId="17" fillId="33" borderId="0" xfId="43" applyNumberFormat="1" applyFont="1" applyFill="1" applyBorder="1" applyAlignment="1">
      <alignment horizontal="center" vertical="center" wrapText="1"/>
    </xf>
    <xf numFmtId="222" fontId="17" fillId="33" borderId="0" xfId="18" applyNumberFormat="1" applyFont="1" applyFill="1" applyBorder="1" applyAlignment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font>
        <color theme="0"/>
      </font>
      <fill>
        <patternFill>
          <bgColor theme="3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246826</xdr:colOff>
      <xdr:row>2</xdr:row>
      <xdr:rowOff>142875</xdr:rowOff>
    </xdr:from>
    <xdr:to>
      <xdr:col>16</xdr:col>
      <xdr:colOff>389770</xdr:colOff>
      <xdr:row>26</xdr:row>
      <xdr:rowOff>93272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1201" y="676275"/>
          <a:ext cx="4372044" cy="4293797"/>
        </a:xfrm>
        <a:prstGeom prst="rect">
          <a:avLst/>
        </a:prstGeom>
      </xdr:spPr>
    </xdr:pic>
    <xdr:clientData/>
  </xdr:twoCellAnchor>
  <xdr:twoCellAnchor editAs="absolute">
    <xdr:from>
      <xdr:col>12</xdr:col>
      <xdr:colOff>362823</xdr:colOff>
      <xdr:row>13</xdr:row>
      <xdr:rowOff>63479</xdr:rowOff>
    </xdr:from>
    <xdr:to>
      <xdr:col>12</xdr:col>
      <xdr:colOff>542823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9373473" y="2587604"/>
          <a:ext cx="180000" cy="174566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213824</xdr:colOff>
      <xdr:row>9</xdr:row>
      <xdr:rowOff>172807</xdr:rowOff>
    </xdr:from>
    <xdr:to>
      <xdr:col>14</xdr:col>
      <xdr:colOff>393824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216301</xdr:colOff>
      <xdr:row>16</xdr:row>
      <xdr:rowOff>155726</xdr:rowOff>
    </xdr:from>
    <xdr:to>
      <xdr:col>15</xdr:col>
      <xdr:colOff>396301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238895</xdr:colOff>
      <xdr:row>9</xdr:row>
      <xdr:rowOff>171877</xdr:rowOff>
    </xdr:from>
    <xdr:to>
      <xdr:col>15</xdr:col>
      <xdr:colOff>417625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1745095" y="1972102"/>
          <a:ext cx="178730" cy="175741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335347</xdr:colOff>
      <xdr:row>15</xdr:row>
      <xdr:rowOff>117370</xdr:rowOff>
    </xdr:from>
    <xdr:to>
      <xdr:col>14</xdr:col>
      <xdr:colOff>515347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662467</xdr:colOff>
      <xdr:row>19</xdr:row>
      <xdr:rowOff>80582</xdr:rowOff>
    </xdr:from>
    <xdr:to>
      <xdr:col>15</xdr:col>
      <xdr:colOff>842201</xdr:colOff>
      <xdr:row>20</xdr:row>
      <xdr:rowOff>73579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168667" y="3690557"/>
          <a:ext cx="179734" cy="1739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238622</xdr:colOff>
      <xdr:row>20</xdr:row>
      <xdr:rowOff>180429</xdr:rowOff>
    </xdr:from>
    <xdr:to>
      <xdr:col>15</xdr:col>
      <xdr:colOff>418622</xdr:colOff>
      <xdr:row>21</xdr:row>
      <xdr:rowOff>175964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1744822" y="3971379"/>
          <a:ext cx="180000" cy="17651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352022</xdr:colOff>
      <xdr:row>24</xdr:row>
      <xdr:rowOff>85329</xdr:rowOff>
    </xdr:from>
    <xdr:to>
      <xdr:col>15</xdr:col>
      <xdr:colOff>532022</xdr:colOff>
      <xdr:row>25</xdr:row>
      <xdr:rowOff>79592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1858222" y="4600179"/>
          <a:ext cx="180000" cy="175238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590550</xdr:colOff>
      <xdr:row>26</xdr:row>
      <xdr:rowOff>9525</xdr:rowOff>
    </xdr:from>
    <xdr:to>
      <xdr:col>13</xdr:col>
      <xdr:colOff>270375</xdr:colOff>
      <xdr:row>28</xdr:row>
      <xdr:rowOff>7575</xdr:rowOff>
    </xdr:to>
    <xdr:sp macro="" textlink="$N$1">
      <xdr:nvSpPr>
        <xdr:cNvPr id="2" name="Flowchart: Terminator 1">
          <a:extLst>
            <a:ext uri="{FF2B5EF4-FFF2-40B4-BE49-F238E27FC236}">
              <a16:creationId xmlns:a16="http://schemas.microsoft.com/office/drawing/2014/main" id="{990C47B0-6FF3-405B-8DB5-F08E708BD539}"/>
            </a:ext>
          </a:extLst>
        </xdr:cNvPr>
        <xdr:cNvSpPr/>
      </xdr:nvSpPr>
      <xdr:spPr>
        <a:xfrm>
          <a:off x="9124950" y="4886325"/>
          <a:ext cx="108000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2508F7B6-577E-4C8E-B92D-FCFA778AF463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3%</a:t>
          </a:fld>
          <a:endParaRPr lang="en-CA" sz="1100"/>
        </a:p>
      </xdr:txBody>
    </xdr:sp>
    <xdr:clientData/>
  </xdr:twoCellAnchor>
  <xdr:twoCellAnchor>
    <xdr:from>
      <xdr:col>13</xdr:col>
      <xdr:colOff>571500</xdr:colOff>
      <xdr:row>26</xdr:row>
      <xdr:rowOff>9525</xdr:rowOff>
    </xdr:from>
    <xdr:to>
      <xdr:col>14</xdr:col>
      <xdr:colOff>937125</xdr:colOff>
      <xdr:row>28</xdr:row>
      <xdr:rowOff>7575</xdr:rowOff>
    </xdr:to>
    <xdr:sp macro="" textlink="$O$1">
      <xdr:nvSpPr>
        <xdr:cNvPr id="12" name="Flowchart: Terminator 11">
          <a:extLst>
            <a:ext uri="{FF2B5EF4-FFF2-40B4-BE49-F238E27FC236}">
              <a16:creationId xmlns:a16="http://schemas.microsoft.com/office/drawing/2014/main" id="{39ED2B2B-D67E-4AF2-B34F-90529975F797}"/>
            </a:ext>
          </a:extLst>
        </xdr:cNvPr>
        <xdr:cNvSpPr/>
      </xdr:nvSpPr>
      <xdr:spPr>
        <a:xfrm>
          <a:off x="10506075" y="4886325"/>
          <a:ext cx="108000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517AE5AA-1A3D-454F-B0F1-5477D5A153C9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44%</a:t>
          </a:fld>
          <a:endParaRPr lang="en-CA" sz="1100"/>
        </a:p>
      </xdr:txBody>
    </xdr:sp>
    <xdr:clientData/>
  </xdr:twoCellAnchor>
  <xdr:twoCellAnchor>
    <xdr:from>
      <xdr:col>15</xdr:col>
      <xdr:colOff>180975</xdr:colOff>
      <xdr:row>26</xdr:row>
      <xdr:rowOff>9525</xdr:rowOff>
    </xdr:from>
    <xdr:to>
      <xdr:col>16</xdr:col>
      <xdr:colOff>203700</xdr:colOff>
      <xdr:row>28</xdr:row>
      <xdr:rowOff>7575</xdr:rowOff>
    </xdr:to>
    <xdr:sp macro="" textlink="$P$1">
      <xdr:nvSpPr>
        <xdr:cNvPr id="13" name="Flowchart: Terminator 12">
          <a:extLst>
            <a:ext uri="{FF2B5EF4-FFF2-40B4-BE49-F238E27FC236}">
              <a16:creationId xmlns:a16="http://schemas.microsoft.com/office/drawing/2014/main" id="{78DBF67C-5EDF-48D6-9368-D910E93920A1}"/>
            </a:ext>
          </a:extLst>
        </xdr:cNvPr>
        <xdr:cNvSpPr/>
      </xdr:nvSpPr>
      <xdr:spPr>
        <a:xfrm>
          <a:off x="11887200" y="4886325"/>
          <a:ext cx="108000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FC8363F8-2097-4697-953B-3B5ABB7DEEA8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53%</a:t>
          </a:fld>
          <a:endParaRPr lang="en-CA" sz="1100"/>
        </a:p>
      </xdr:txBody>
    </xdr:sp>
    <xdr:clientData/>
  </xdr:twoCellAnchor>
  <xdr:twoCellAnchor editAs="oneCell">
    <xdr:from>
      <xdr:col>15</xdr:col>
      <xdr:colOff>933450</xdr:colOff>
      <xdr:row>24</xdr:row>
      <xdr:rowOff>119025</xdr:rowOff>
    </xdr:from>
    <xdr:to>
      <xdr:col>16</xdr:col>
      <xdr:colOff>308175</xdr:colOff>
      <xdr:row>27</xdr:row>
      <xdr:rowOff>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EF1E777-5425-45C2-8CFE-66CDBDCB1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39675" y="46338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673875</xdr:colOff>
      <xdr:row>24</xdr:row>
      <xdr:rowOff>119025</xdr:rowOff>
    </xdr:from>
    <xdr:to>
      <xdr:col>13</xdr:col>
      <xdr:colOff>381975</xdr:colOff>
      <xdr:row>27</xdr:row>
      <xdr:rowOff>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721DC7D-C135-422E-8C15-A6E577BE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4550" y="46338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585750</xdr:colOff>
      <xdr:row>24</xdr:row>
      <xdr:rowOff>119025</xdr:rowOff>
    </xdr:from>
    <xdr:to>
      <xdr:col>14</xdr:col>
      <xdr:colOff>1017750</xdr:colOff>
      <xdr:row>27</xdr:row>
      <xdr:rowOff>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BC30F28-1FE1-4C6F-AF7A-4AE253FF8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4700" y="4633875"/>
          <a:ext cx="432000" cy="43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topLeftCell="D1" zoomScaleNormal="100" workbookViewId="0">
      <selection activeCell="J5" sqref="J5:J12"/>
    </sheetView>
  </sheetViews>
  <sheetFormatPr defaultColWidth="9" defaultRowHeight="14.85" customHeight="1" x14ac:dyDescent="0.25"/>
  <cols>
    <col min="1" max="1" width="1.140625" style="6" customWidth="1"/>
    <col min="2" max="2" width="14" style="76" customWidth="1"/>
    <col min="3" max="9" width="13" style="2" customWidth="1"/>
    <col min="10" max="10" width="6.5703125" style="4" customWidth="1"/>
    <col min="11" max="11" width="12.28515625" style="2" customWidth="1"/>
    <col min="12" max="12" width="10.140625" style="1" customWidth="1"/>
    <col min="13" max="13" width="10.85546875" style="1" customWidth="1"/>
    <col min="14" max="14" width="10.7109375" style="1" customWidth="1"/>
    <col min="15" max="16" width="15.85546875" style="1" customWidth="1"/>
    <col min="17" max="19" width="10.85546875" style="1" customWidth="1"/>
    <col min="20" max="21" width="10.85546875" style="10" hidden="1" customWidth="1"/>
    <col min="22" max="24" width="10.85546875" style="1" customWidth="1"/>
    <col min="25" max="28" width="6.85546875" style="1" customWidth="1"/>
    <col min="29" max="16384" width="9" style="1"/>
  </cols>
  <sheetData>
    <row r="1" spans="1:21" s="8" customFormat="1" ht="28.15" customHeight="1" x14ac:dyDescent="0.35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10</v>
      </c>
      <c r="L1" s="84"/>
      <c r="M1" s="85"/>
      <c r="N1" s="88">
        <f>VLOOKUP(K1,B29:E36,2,0)</f>
        <v>0.03</v>
      </c>
      <c r="O1" s="89">
        <f>VLOOKUP(K1,B29:E36,3,0)</f>
        <v>0.44</v>
      </c>
      <c r="P1" s="89">
        <f>VLOOKUP(K1,B29:E36,4,0)</f>
        <v>0.53</v>
      </c>
      <c r="Q1" s="84"/>
      <c r="T1" s="9"/>
      <c r="U1" s="9"/>
    </row>
    <row r="2" spans="1:21" ht="14.85" customHeight="1" x14ac:dyDescent="0.25">
      <c r="I2" s="82"/>
      <c r="M2" s="2"/>
      <c r="O2" s="2"/>
    </row>
    <row r="3" spans="1:21" ht="14.85" customHeight="1" x14ac:dyDescent="0.25">
      <c r="B3" s="80" t="s">
        <v>8</v>
      </c>
      <c r="I3" s="82" t="s">
        <v>74</v>
      </c>
      <c r="M3" s="2"/>
      <c r="N3" s="2"/>
      <c r="O3" s="2"/>
      <c r="T3" s="11" t="s">
        <v>17</v>
      </c>
      <c r="U3" s="12" t="s">
        <v>45</v>
      </c>
    </row>
    <row r="4" spans="1:21" ht="14.85" customHeight="1" x14ac:dyDescent="0.2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85" customHeight="1" x14ac:dyDescent="0.25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91">
        <f>I5</f>
        <v>1.0743048481739459E-2</v>
      </c>
      <c r="T5" s="16" t="s">
        <v>19</v>
      </c>
      <c r="U5" s="17" t="s">
        <v>47</v>
      </c>
    </row>
    <row r="6" spans="1:21" ht="14.85" customHeight="1" x14ac:dyDescent="0.2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91">
        <f t="shared" ref="J6:J12" si="1">I6</f>
        <v>-7.8537336340878117E-4</v>
      </c>
      <c r="T6" s="18" t="s">
        <v>20</v>
      </c>
      <c r="U6" s="19" t="s">
        <v>48</v>
      </c>
    </row>
    <row r="7" spans="1:21" ht="14.85" customHeight="1" x14ac:dyDescent="0.2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91">
        <f t="shared" si="1"/>
        <v>-5.5327675408438859E-2</v>
      </c>
      <c r="T7" s="20" t="s">
        <v>21</v>
      </c>
      <c r="U7" s="21" t="s">
        <v>49</v>
      </c>
    </row>
    <row r="8" spans="1:21" ht="14.85" customHeight="1" x14ac:dyDescent="0.2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91">
        <f t="shared" si="1"/>
        <v>-2.6113250720505299E-3</v>
      </c>
      <c r="T8" s="22" t="s">
        <v>22</v>
      </c>
      <c r="U8" s="23" t="s">
        <v>50</v>
      </c>
    </row>
    <row r="9" spans="1:21" ht="14.85" customHeight="1" x14ac:dyDescent="0.2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91">
        <f t="shared" si="1"/>
        <v>1.6461760604046694E-2</v>
      </c>
      <c r="N9" s="10"/>
      <c r="O9" s="10"/>
      <c r="P9" s="10"/>
      <c r="Q9" s="10"/>
      <c r="T9" s="24" t="s">
        <v>23</v>
      </c>
      <c r="U9" s="25" t="s">
        <v>51</v>
      </c>
    </row>
    <row r="10" spans="1:21" ht="14.85" customHeight="1" x14ac:dyDescent="0.2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91">
        <f t="shared" si="1"/>
        <v>6.7924635952900658E-3</v>
      </c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85" customHeight="1" x14ac:dyDescent="0.2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91">
        <f t="shared" si="1"/>
        <v>-7.5108984348842833E-3</v>
      </c>
      <c r="N11" s="10"/>
      <c r="O11" s="28"/>
      <c r="P11" s="28"/>
      <c r="Q11" s="10"/>
      <c r="T11" s="18" t="s">
        <v>25</v>
      </c>
      <c r="U11" s="29" t="s">
        <v>53</v>
      </c>
    </row>
    <row r="12" spans="1:21" ht="14.85" customHeight="1" x14ac:dyDescent="0.2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91">
        <f t="shared" si="1"/>
        <v>-3.244762558946801E-2</v>
      </c>
      <c r="N12" s="10"/>
      <c r="O12" s="10"/>
      <c r="P12" s="10"/>
      <c r="Q12" s="10"/>
      <c r="T12" s="30" t="s">
        <v>26</v>
      </c>
      <c r="U12" s="31" t="s">
        <v>54</v>
      </c>
    </row>
    <row r="13" spans="1:21" ht="14.85" customHeight="1" x14ac:dyDescent="0.25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85" customHeight="1" x14ac:dyDescent="0.2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85" customHeight="1" x14ac:dyDescent="0.25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85" customHeight="1" x14ac:dyDescent="0.2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87" t="s">
        <v>0</v>
      </c>
      <c r="J16" s="87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85" customHeight="1" x14ac:dyDescent="0.25">
      <c r="B17" s="77" t="s">
        <v>1</v>
      </c>
      <c r="C17" s="86">
        <v>0.76</v>
      </c>
      <c r="D17" s="86">
        <v>0.77</v>
      </c>
      <c r="E17" s="86">
        <v>0.76</v>
      </c>
      <c r="F17" s="86">
        <v>0.74</v>
      </c>
      <c r="G17" s="86">
        <v>0.72</v>
      </c>
      <c r="H17" s="86">
        <v>0.53</v>
      </c>
      <c r="I17" s="90">
        <f t="shared" ref="I17:I24" si="2">(H17/C17)^(1/10)-1</f>
        <v>-3.5402287378497377E-2</v>
      </c>
      <c r="J17" s="3">
        <f>+I17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85" customHeight="1" x14ac:dyDescent="0.25">
      <c r="B18" s="77" t="s">
        <v>2</v>
      </c>
      <c r="C18" s="86">
        <v>0.62</v>
      </c>
      <c r="D18" s="86">
        <v>0.6</v>
      </c>
      <c r="E18" s="86">
        <v>0.65</v>
      </c>
      <c r="F18" s="86">
        <v>0.66</v>
      </c>
      <c r="G18" s="86">
        <v>0.64</v>
      </c>
      <c r="H18" s="86">
        <v>0.62</v>
      </c>
      <c r="I18" s="90">
        <f t="shared" si="2"/>
        <v>0</v>
      </c>
      <c r="J18" s="3">
        <f t="shared" ref="J18:J24" si="3">+I18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85" customHeight="1" x14ac:dyDescent="0.25">
      <c r="B19" s="77" t="s">
        <v>3</v>
      </c>
      <c r="C19" s="86">
        <v>0.12</v>
      </c>
      <c r="D19" s="86">
        <v>0.19</v>
      </c>
      <c r="E19" s="86">
        <v>0.17</v>
      </c>
      <c r="F19" s="86">
        <v>0.22</v>
      </c>
      <c r="G19" s="86">
        <v>0.2</v>
      </c>
      <c r="H19" s="86">
        <v>0.15</v>
      </c>
      <c r="I19" s="90">
        <f t="shared" si="2"/>
        <v>2.2565182563572872E-2</v>
      </c>
      <c r="J19" s="3">
        <f t="shared" si="3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85" customHeight="1" x14ac:dyDescent="0.25">
      <c r="B20" s="77" t="s">
        <v>10</v>
      </c>
      <c r="C20" s="86">
        <v>0.48</v>
      </c>
      <c r="D20" s="86">
        <v>0.46</v>
      </c>
      <c r="E20" s="86">
        <v>0.5</v>
      </c>
      <c r="F20" s="86">
        <v>0.47</v>
      </c>
      <c r="G20" s="86">
        <v>0.48</v>
      </c>
      <c r="H20" s="86">
        <v>0.47</v>
      </c>
      <c r="I20" s="90">
        <f t="shared" si="2"/>
        <v>-2.1031262440773801E-3</v>
      </c>
      <c r="J20" s="3">
        <f t="shared" si="3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85" customHeight="1" x14ac:dyDescent="0.25">
      <c r="B21" s="77" t="s">
        <v>4</v>
      </c>
      <c r="C21" s="86">
        <v>0.79</v>
      </c>
      <c r="D21" s="86">
        <v>0.8</v>
      </c>
      <c r="E21" s="86">
        <v>0.82</v>
      </c>
      <c r="F21" s="86">
        <v>0.83</v>
      </c>
      <c r="G21" s="86">
        <v>0.82</v>
      </c>
      <c r="H21" s="86">
        <v>0.82</v>
      </c>
      <c r="I21" s="90">
        <f t="shared" si="2"/>
        <v>3.7340939014227637E-3</v>
      </c>
      <c r="J21" s="3">
        <f t="shared" si="3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85" customHeight="1" x14ac:dyDescent="0.25">
      <c r="B22" s="77" t="s">
        <v>11</v>
      </c>
      <c r="C22" s="86">
        <v>0.4</v>
      </c>
      <c r="D22" s="86">
        <v>0.46</v>
      </c>
      <c r="E22" s="86">
        <v>0.46</v>
      </c>
      <c r="F22" s="86">
        <v>0.48</v>
      </c>
      <c r="G22" s="86">
        <v>0.53</v>
      </c>
      <c r="H22" s="86">
        <v>0.53</v>
      </c>
      <c r="I22" s="90">
        <f t="shared" si="2"/>
        <v>2.8540951399434356E-2</v>
      </c>
      <c r="J22" s="3">
        <f t="shared" si="3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85" customHeight="1" x14ac:dyDescent="0.25">
      <c r="B23" s="77" t="s">
        <v>12</v>
      </c>
      <c r="C23" s="86">
        <v>0.57999999999999996</v>
      </c>
      <c r="D23" s="86">
        <v>0.61</v>
      </c>
      <c r="E23" s="86">
        <v>0.65</v>
      </c>
      <c r="F23" s="86">
        <v>0.7</v>
      </c>
      <c r="G23" s="86">
        <v>0.73</v>
      </c>
      <c r="H23" s="86">
        <v>0.72</v>
      </c>
      <c r="I23" s="90">
        <f t="shared" si="2"/>
        <v>2.1857766983182536E-2</v>
      </c>
      <c r="J23" s="3">
        <f t="shared" si="3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85" customHeight="1" x14ac:dyDescent="0.25">
      <c r="B24" s="77" t="s">
        <v>5</v>
      </c>
      <c r="C24" s="86">
        <v>0.35</v>
      </c>
      <c r="D24" s="86">
        <v>0.35</v>
      </c>
      <c r="E24" s="86">
        <v>0.41</v>
      </c>
      <c r="F24" s="86">
        <v>0.48</v>
      </c>
      <c r="G24" s="86">
        <v>0.53</v>
      </c>
      <c r="H24" s="86">
        <v>0.56999999999999995</v>
      </c>
      <c r="I24" s="90">
        <f t="shared" si="2"/>
        <v>4.9979164495061346E-2</v>
      </c>
      <c r="J24" s="3">
        <f t="shared" si="3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85" customHeight="1" x14ac:dyDescent="0.2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85" customHeight="1" x14ac:dyDescent="0.2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85" customHeight="1" x14ac:dyDescent="0.25">
      <c r="B27" s="80" t="s">
        <v>13</v>
      </c>
      <c r="J27" s="74"/>
      <c r="T27" s="60" t="s">
        <v>41</v>
      </c>
      <c r="U27" s="61" t="s">
        <v>69</v>
      </c>
    </row>
    <row r="28" spans="1:21" ht="14.85" customHeight="1" x14ac:dyDescent="0.2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85" customHeight="1" x14ac:dyDescent="0.25">
      <c r="B29" s="77" t="s">
        <v>1</v>
      </c>
      <c r="C29" s="65">
        <v>0.04</v>
      </c>
      <c r="D29" s="65">
        <v>0.49</v>
      </c>
      <c r="E29" s="65">
        <f t="shared" ref="E29:E36" si="4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85" customHeight="1" x14ac:dyDescent="0.25">
      <c r="B30" s="77" t="s">
        <v>2</v>
      </c>
      <c r="C30" s="65">
        <v>0.04</v>
      </c>
      <c r="D30" s="65">
        <v>0.59</v>
      </c>
      <c r="E30" s="65">
        <f t="shared" si="4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85" customHeight="1" x14ac:dyDescent="0.25">
      <c r="B31" s="77" t="s">
        <v>3</v>
      </c>
      <c r="C31" s="65">
        <v>0.04</v>
      </c>
      <c r="D31" s="65">
        <v>0.11</v>
      </c>
      <c r="E31" s="65">
        <f t="shared" si="4"/>
        <v>0.85</v>
      </c>
      <c r="F31" s="62"/>
      <c r="G31" s="62"/>
      <c r="H31" s="62"/>
      <c r="I31" s="62"/>
      <c r="J31" s="74"/>
      <c r="K31" s="62"/>
    </row>
    <row r="32" spans="1:21" ht="14.85" customHeight="1" x14ac:dyDescent="0.25">
      <c r="B32" s="77" t="s">
        <v>10</v>
      </c>
      <c r="C32" s="65">
        <v>0.03</v>
      </c>
      <c r="D32" s="65">
        <v>0.44</v>
      </c>
      <c r="E32" s="65">
        <f t="shared" si="4"/>
        <v>0.53</v>
      </c>
      <c r="F32" s="62"/>
      <c r="G32" s="62"/>
      <c r="H32" s="62"/>
      <c r="I32" s="62"/>
      <c r="J32" s="74"/>
      <c r="K32" s="62"/>
    </row>
    <row r="33" spans="2:11" ht="14.85" customHeight="1" x14ac:dyDescent="0.25">
      <c r="B33" s="77" t="s">
        <v>4</v>
      </c>
      <c r="C33" s="65">
        <v>0.04</v>
      </c>
      <c r="D33" s="65">
        <v>0.78</v>
      </c>
      <c r="E33" s="65">
        <f t="shared" si="4"/>
        <v>0.17999999999999994</v>
      </c>
      <c r="F33" s="62"/>
      <c r="G33" s="62"/>
      <c r="H33" s="62"/>
      <c r="I33" s="62"/>
      <c r="K33" s="62"/>
    </row>
    <row r="34" spans="2:11" ht="14.85" customHeight="1" x14ac:dyDescent="0.25">
      <c r="B34" s="77" t="s">
        <v>11</v>
      </c>
      <c r="C34" s="65">
        <v>0.04</v>
      </c>
      <c r="D34" s="65">
        <v>0.49</v>
      </c>
      <c r="E34" s="65">
        <f t="shared" si="4"/>
        <v>0.47</v>
      </c>
    </row>
    <row r="35" spans="2:11" ht="14.85" customHeight="1" x14ac:dyDescent="0.25">
      <c r="B35" s="77" t="s">
        <v>12</v>
      </c>
      <c r="C35" s="65">
        <v>0.04</v>
      </c>
      <c r="D35" s="65">
        <v>0.68</v>
      </c>
      <c r="E35" s="65">
        <f t="shared" si="4"/>
        <v>0.27999999999999992</v>
      </c>
    </row>
    <row r="36" spans="2:11" ht="14.85" customHeight="1" x14ac:dyDescent="0.25">
      <c r="B36" s="77" t="s">
        <v>5</v>
      </c>
      <c r="C36" s="65">
        <v>0.04</v>
      </c>
      <c r="D36" s="65">
        <v>0.53</v>
      </c>
      <c r="E36" s="65">
        <f t="shared" si="4"/>
        <v>0.42999999999999994</v>
      </c>
    </row>
    <row r="37" spans="2:11" ht="14.85" customHeight="1" x14ac:dyDescent="0.25">
      <c r="C37" s="70"/>
      <c r="D37" s="70"/>
      <c r="E37" s="70"/>
    </row>
    <row r="38" spans="2:11" ht="14.85" customHeight="1" x14ac:dyDescent="0.25">
      <c r="C38" s="70"/>
      <c r="D38" s="70"/>
      <c r="E38" s="70"/>
    </row>
    <row r="39" spans="2:11" ht="14.85" customHeight="1" x14ac:dyDescent="0.25">
      <c r="B39" s="78"/>
    </row>
    <row r="42" spans="2:11" ht="14.85" customHeight="1" x14ac:dyDescent="0.25">
      <c r="B42" s="78"/>
      <c r="J42" s="13"/>
    </row>
    <row r="43" spans="2:11" ht="14.85" customHeight="1" x14ac:dyDescent="0.25">
      <c r="B43" s="78"/>
      <c r="F43" s="13"/>
      <c r="G43" s="13"/>
      <c r="H43" s="13"/>
      <c r="I43" s="13"/>
      <c r="K43" s="13"/>
    </row>
    <row r="44" spans="2:11" ht="14.85" customHeight="1" x14ac:dyDescent="0.25">
      <c r="B44" s="78"/>
    </row>
    <row r="45" spans="2:11" ht="14.85" customHeight="1" x14ac:dyDescent="0.25">
      <c r="B45" s="78"/>
    </row>
    <row r="46" spans="2:11" ht="14.85" customHeight="1" x14ac:dyDescent="0.25">
      <c r="B46" s="78"/>
    </row>
    <row r="47" spans="2:11" ht="14.85" customHeight="1" x14ac:dyDescent="0.25">
      <c r="B47" s="78"/>
    </row>
    <row r="49" spans="2:5" ht="14.85" customHeight="1" x14ac:dyDescent="0.25">
      <c r="B49" s="78"/>
    </row>
    <row r="50" spans="2:5" ht="14.85" customHeight="1" x14ac:dyDescent="0.25">
      <c r="B50" s="78"/>
    </row>
    <row r="51" spans="2:5" ht="14.85" customHeight="1" x14ac:dyDescent="0.25">
      <c r="B51" s="78"/>
    </row>
    <row r="52" spans="2:5" ht="14.85" customHeight="1" x14ac:dyDescent="0.25">
      <c r="C52" s="70"/>
      <c r="D52" s="70"/>
      <c r="E52" s="70"/>
    </row>
    <row r="63" spans="2:5" ht="14.85" customHeight="1" x14ac:dyDescent="0.25">
      <c r="B63" s="79" t="s">
        <v>6</v>
      </c>
    </row>
  </sheetData>
  <mergeCells count="1">
    <mergeCell ref="I16:J16"/>
  </mergeCells>
  <phoneticPr fontId="23" type="noConversion"/>
  <conditionalFormatting sqref="E29:E3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{B85691E6-A853-4D9B-BDCA-E6E94B630A02}</x14:id>
        </ext>
      </extLst>
    </cfRule>
  </conditionalFormatting>
  <conditionalFormatting sqref="C5:H12">
    <cfRule type="top10" dxfId="13" priority="1" bottom="1" rank="5"/>
  </conditionalFormatting>
  <conditionalFormatting sqref="B5:B12">
    <cfRule type="duplicateValues" dxfId="12" priority="13"/>
    <cfRule type="duplicateValues" dxfId="11" priority="12"/>
  </conditionalFormatting>
  <conditionalFormatting sqref="D29:D36">
    <cfRule type="cellIs" dxfId="10" priority="11" operator="lessThan">
      <formula>0.48</formula>
    </cfRule>
  </conditionalFormatting>
  <conditionalFormatting sqref="O11">
    <cfRule type="expression" dxfId="9" priority="10">
      <formula>O10=$K$1</formula>
    </cfRule>
  </conditionalFormatting>
  <conditionalFormatting sqref="P11">
    <cfRule type="expression" dxfId="8" priority="9">
      <formula>P10=$K$1</formula>
    </cfRule>
  </conditionalFormatting>
  <conditionalFormatting sqref="N14:N15">
    <cfRule type="expression" dxfId="7" priority="8">
      <formula>N13=$K$1</formula>
    </cfRule>
  </conditionalFormatting>
  <conditionalFormatting sqref="O16:O17">
    <cfRule type="expression" dxfId="6" priority="7">
      <formula>O15=$K$1</formula>
    </cfRule>
  </conditionalFormatting>
  <conditionalFormatting sqref="P18">
    <cfRule type="expression" dxfId="5" priority="6">
      <formula>P17=$K$1</formula>
    </cfRule>
  </conditionalFormatting>
  <conditionalFormatting sqref="Q20:Q21">
    <cfRule type="expression" dxfId="4" priority="5">
      <formula>Q19=$K$1</formula>
    </cfRule>
  </conditionalFormatting>
  <conditionalFormatting sqref="P22">
    <cfRule type="expression" dxfId="3" priority="4">
      <formula>P21=$K$1</formula>
    </cfRule>
  </conditionalFormatting>
  <conditionalFormatting sqref="P26">
    <cfRule type="expression" dxfId="2" priority="3">
      <formula>P25=$K$1</formula>
    </cfRule>
  </conditionalFormatting>
  <conditionalFormatting sqref="P25">
    <cfRule type="expression" dxfId="1" priority="2">
      <formula>P24=$K$1</formula>
    </cfRule>
  </conditionalFormatting>
  <conditionalFormatting sqref="B5:I12">
    <cfRule type="expression" dxfId="0" priority="14">
      <formula>$B5=$K$1</formula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5691E6-A853-4D9B-BDCA-E6E94B630A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5" id="{3F7BD4D3-310A-4FD3-A61C-BEEE0E55E29A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5BA1E4A8-406C-4650-A7C1-44F652D76F33}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'State Waste Management'!C17:H17</xm:f>
              <xm:sqref>K17</xm:sqref>
            </x14:sparkline>
          </x14:sparklines>
        </x14:sparklineGroup>
        <x14:sparklineGroup displayEmptyCellsAs="gap" high="1" xr2:uid="{B079F644-1CFE-4FBF-A6E0-A8AF4961D6F8}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  <x14:sparklineGroup type="column" displayEmptyCellsAs="gap" high="1" xr2:uid="{CD4A8584-6B15-4CE6-82F3-0865294E05CA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C00000"/>
          <x14:colorLow rgb="FFFF0000"/>
          <x14:sparklines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type="column" displayEmptyCellsAs="gap" high="1" xr2:uid="{FFC60179-A723-4FFC-B2AA-5E5AA6D4E22A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C00000"/>
          <x14:colorLow rgb="FFFF0000"/>
          <x14:sparklines>
            <x14:sparkline>
              <xm:f>'State Waste Management'!C5:H5</xm:f>
              <xm:sqref>K5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Elisa Villar</cp:lastModifiedBy>
  <dcterms:created xsi:type="dcterms:W3CDTF">2020-03-03T02:51:49Z</dcterms:created>
  <dcterms:modified xsi:type="dcterms:W3CDTF">2021-10-12T16:54:43Z</dcterms:modified>
</cp:coreProperties>
</file>